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ohammedsho/Work/"/>
    </mc:Choice>
  </mc:AlternateContent>
  <xr:revisionPtr revIDLastSave="0" documentId="13_ncr:1_{D4E48D4C-275E-3249-A183-77F6BA3422C1}" xr6:coauthVersionLast="47" xr6:coauthVersionMax="47" xr10:uidLastSave="{00000000-0000-0000-0000-000000000000}"/>
  <bookViews>
    <workbookView xWindow="1080" yWindow="680" windowWidth="28040" windowHeight="16860" activeTab="1" xr2:uid="{038A22A0-53C8-234C-9765-13856FB33A8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C2" i="2"/>
  <c r="B5" i="2"/>
  <c r="B4" i="2"/>
  <c r="B3" i="2"/>
  <c r="D3" i="2" s="1"/>
  <c r="G3" i="2" s="1"/>
  <c r="L3" i="2" s="1"/>
  <c r="C5" i="2"/>
  <c r="C4" i="2"/>
  <c r="D4" i="2" s="1"/>
  <c r="G4" i="2" s="1"/>
  <c r="L4" i="2" s="1"/>
  <c r="C3" i="2"/>
  <c r="D2" i="2"/>
  <c r="L7" i="2"/>
  <c r="L6" i="2"/>
  <c r="J6" i="2"/>
  <c r="K6" i="2"/>
  <c r="J7" i="2"/>
  <c r="K7" i="2"/>
  <c r="K5" i="2"/>
  <c r="J5" i="2"/>
  <c r="K4" i="2"/>
  <c r="J4" i="2"/>
  <c r="K3" i="2"/>
  <c r="J3" i="2"/>
  <c r="K2" i="2"/>
  <c r="J2" i="2"/>
  <c r="B2" i="2"/>
  <c r="E10" i="1"/>
  <c r="E12" i="1"/>
  <c r="E5" i="1"/>
  <c r="E6" i="1"/>
  <c r="E7" i="1"/>
  <c r="E8" i="1"/>
  <c r="E9" i="1"/>
  <c r="E11" i="1"/>
  <c r="E14" i="1"/>
  <c r="C7" i="1"/>
  <c r="E3" i="1"/>
  <c r="E4" i="1"/>
  <c r="E2" i="1"/>
  <c r="D5" i="2" l="1"/>
  <c r="G5" i="2" s="1"/>
  <c r="L5" i="2" s="1"/>
  <c r="G2" i="2"/>
  <c r="L2" i="2" s="1"/>
  <c r="E2" i="2"/>
  <c r="E3" i="2" s="1"/>
  <c r="E4" i="2" s="1"/>
  <c r="E5" i="2" s="1"/>
  <c r="M2" i="2"/>
  <c r="M3" i="2" s="1"/>
  <c r="M4" i="2" s="1"/>
  <c r="M5" i="2" s="1"/>
  <c r="M6" i="2" s="1"/>
  <c r="M7" i="2" s="1"/>
</calcChain>
</file>

<file path=xl/sharedStrings.xml><?xml version="1.0" encoding="utf-8"?>
<sst xmlns="http://schemas.openxmlformats.org/spreadsheetml/2006/main" count="86" uniqueCount="43">
  <si>
    <t>26th Sept</t>
  </si>
  <si>
    <t>7th October</t>
  </si>
  <si>
    <t>Date</t>
  </si>
  <si>
    <t>Amount-Ishaq (AUD)</t>
  </si>
  <si>
    <t>Entry Name</t>
  </si>
  <si>
    <t>House Rent Oct</t>
  </si>
  <si>
    <t>Mate Internert 500 NBN</t>
  </si>
  <si>
    <t>24th October</t>
  </si>
  <si>
    <t xml:space="preserve">Status </t>
  </si>
  <si>
    <t>Kmart Shopping</t>
  </si>
  <si>
    <t>8th October</t>
  </si>
  <si>
    <t>Net</t>
  </si>
  <si>
    <t>Amount-Yaqoob (AUD)</t>
  </si>
  <si>
    <t>Income</t>
  </si>
  <si>
    <t>Expense</t>
  </si>
  <si>
    <t>Split</t>
  </si>
  <si>
    <t>Done</t>
  </si>
  <si>
    <t>Not Done</t>
  </si>
  <si>
    <t>Weeks</t>
  </si>
  <si>
    <t>10th October</t>
  </si>
  <si>
    <t>Stipend October</t>
  </si>
  <si>
    <t>Stipend September</t>
  </si>
  <si>
    <t>Roza Mandi Dinner</t>
  </si>
  <si>
    <t>12th October</t>
  </si>
  <si>
    <t>Bedframe Reimbursement</t>
  </si>
  <si>
    <t xml:space="preserve">Coles Shopping </t>
  </si>
  <si>
    <t>11th October</t>
  </si>
  <si>
    <t>Dispensa Iced Chocolate</t>
  </si>
  <si>
    <t>MaryBrown Lunch</t>
  </si>
  <si>
    <t>Indulgence Dessert</t>
  </si>
  <si>
    <t>9th October</t>
  </si>
  <si>
    <t>Amazon Gifts Payment</t>
  </si>
  <si>
    <t>Week 1</t>
  </si>
  <si>
    <t>Week 0</t>
  </si>
  <si>
    <t xml:space="preserve">Month </t>
  </si>
  <si>
    <t>Intuigence Ai (QAR)</t>
  </si>
  <si>
    <t>Kutuby (QAR)</t>
  </si>
  <si>
    <t>Total Earned (QAR)</t>
  </si>
  <si>
    <t>Total Remaining (QAR)</t>
  </si>
  <si>
    <t>30% Investment (QAR)</t>
  </si>
  <si>
    <t>5 USD</t>
  </si>
  <si>
    <t>5 Hour</t>
  </si>
  <si>
    <t>15th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</si>
</sst>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65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2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522"/>
      <color rgb="FFFBAC3D"/>
      <color rgb="FFFF31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4CD9-2DFD-A94E-826C-68BC63C35678}">
  <dimension ref="A1:H14"/>
  <sheetViews>
    <sheetView zoomScale="156" workbookViewId="0">
      <selection activeCell="C17" sqref="C17"/>
    </sheetView>
  </sheetViews>
  <sheetFormatPr baseColWidth="10" defaultRowHeight="16" x14ac:dyDescent="0.2"/>
  <cols>
    <col min="1" max="1" width="22.6640625" bestFit="1" customWidth="1"/>
    <col min="2" max="2" width="13.1640625" style="3" bestFit="1" customWidth="1"/>
    <col min="3" max="3" width="18.1640625" bestFit="1" customWidth="1"/>
    <col min="4" max="4" width="19.83203125" bestFit="1" customWidth="1"/>
    <col min="5" max="5" width="15.6640625" customWidth="1"/>
    <col min="6" max="6" width="10.83203125" style="3"/>
    <col min="7" max="7" width="11.83203125" style="7" customWidth="1"/>
    <col min="10" max="10" width="11.33203125" customWidth="1"/>
  </cols>
  <sheetData>
    <row r="1" spans="1:8" x14ac:dyDescent="0.2">
      <c r="A1" s="5" t="s">
        <v>4</v>
      </c>
      <c r="B1" s="5" t="s">
        <v>2</v>
      </c>
      <c r="C1" s="5" t="s">
        <v>3</v>
      </c>
      <c r="D1" s="5" t="s">
        <v>12</v>
      </c>
      <c r="E1" s="5" t="s">
        <v>11</v>
      </c>
      <c r="F1" s="5" t="s">
        <v>8</v>
      </c>
      <c r="G1" s="5" t="s">
        <v>15</v>
      </c>
      <c r="H1" s="5" t="s">
        <v>18</v>
      </c>
    </row>
    <row r="2" spans="1:8" x14ac:dyDescent="0.2">
      <c r="A2" s="1" t="s">
        <v>21</v>
      </c>
      <c r="B2" s="2" t="s">
        <v>0</v>
      </c>
      <c r="C2" s="1">
        <v>5517</v>
      </c>
      <c r="D2" s="1">
        <v>17682</v>
      </c>
      <c r="E2" s="1">
        <f>D2+C2</f>
        <v>23199</v>
      </c>
      <c r="F2" s="4" t="s">
        <v>13</v>
      </c>
      <c r="G2" s="4" t="s">
        <v>16</v>
      </c>
      <c r="H2" s="1" t="s">
        <v>33</v>
      </c>
    </row>
    <row r="3" spans="1:8" x14ac:dyDescent="0.2">
      <c r="A3" s="1" t="s">
        <v>5</v>
      </c>
      <c r="B3" s="2" t="s">
        <v>1</v>
      </c>
      <c r="C3" s="1">
        <v>-1477.5</v>
      </c>
      <c r="D3" s="1">
        <v>-1477.5</v>
      </c>
      <c r="E3" s="1">
        <f>D3+C3</f>
        <v>-2955</v>
      </c>
      <c r="F3" s="6" t="s">
        <v>14</v>
      </c>
      <c r="G3" s="8" t="s">
        <v>17</v>
      </c>
      <c r="H3" s="1" t="s">
        <v>33</v>
      </c>
    </row>
    <row r="4" spans="1:8" x14ac:dyDescent="0.2">
      <c r="A4" s="1" t="s">
        <v>9</v>
      </c>
      <c r="B4" s="2" t="s">
        <v>10</v>
      </c>
      <c r="C4" s="1">
        <v>-22</v>
      </c>
      <c r="D4" s="1">
        <v>-22</v>
      </c>
      <c r="E4" s="1">
        <f>D4+C4</f>
        <v>-44</v>
      </c>
      <c r="F4" s="6" t="s">
        <v>14</v>
      </c>
      <c r="G4" s="8" t="s">
        <v>17</v>
      </c>
      <c r="H4" s="1" t="s">
        <v>33</v>
      </c>
    </row>
    <row r="5" spans="1:8" x14ac:dyDescent="0.2">
      <c r="A5" s="1" t="s">
        <v>20</v>
      </c>
      <c r="B5" s="2" t="s">
        <v>30</v>
      </c>
      <c r="C5" s="1">
        <v>1480</v>
      </c>
      <c r="D5" s="1">
        <v>2158.81</v>
      </c>
      <c r="E5" s="1">
        <f t="shared" ref="E5:E10" si="0">D5+C5</f>
        <v>3638.81</v>
      </c>
      <c r="F5" s="4" t="s">
        <v>13</v>
      </c>
      <c r="G5" s="4" t="s">
        <v>16</v>
      </c>
      <c r="H5" s="1" t="s">
        <v>32</v>
      </c>
    </row>
    <row r="6" spans="1:8" x14ac:dyDescent="0.2">
      <c r="A6" s="1" t="s">
        <v>24</v>
      </c>
      <c r="B6" s="2" t="s">
        <v>19</v>
      </c>
      <c r="C6" s="1">
        <v>902</v>
      </c>
      <c r="D6" s="1">
        <v>0</v>
      </c>
      <c r="E6" s="1">
        <f t="shared" si="0"/>
        <v>902</v>
      </c>
      <c r="F6" s="4" t="s">
        <v>13</v>
      </c>
      <c r="G6" s="4" t="s">
        <v>16</v>
      </c>
      <c r="H6" s="1" t="s">
        <v>32</v>
      </c>
    </row>
    <row r="7" spans="1:8" x14ac:dyDescent="0.2">
      <c r="A7" s="1" t="s">
        <v>25</v>
      </c>
      <c r="B7" s="2" t="s">
        <v>19</v>
      </c>
      <c r="C7" s="1">
        <f>-21.55/2</f>
        <v>-10.775</v>
      </c>
      <c r="D7" s="1">
        <v>-10.75</v>
      </c>
      <c r="E7" s="1">
        <f t="shared" si="0"/>
        <v>-21.524999999999999</v>
      </c>
      <c r="F7" s="6" t="s">
        <v>14</v>
      </c>
      <c r="G7" s="8" t="s">
        <v>17</v>
      </c>
      <c r="H7" s="1" t="s">
        <v>32</v>
      </c>
    </row>
    <row r="8" spans="1:8" x14ac:dyDescent="0.2">
      <c r="A8" s="1" t="s">
        <v>27</v>
      </c>
      <c r="B8" s="2" t="s">
        <v>19</v>
      </c>
      <c r="C8" s="1">
        <v>-15.26</v>
      </c>
      <c r="D8" s="1">
        <v>0</v>
      </c>
      <c r="E8" s="1">
        <f t="shared" si="0"/>
        <v>-15.26</v>
      </c>
      <c r="F8" s="6" t="s">
        <v>14</v>
      </c>
      <c r="G8" s="4" t="s">
        <v>16</v>
      </c>
      <c r="H8" s="1" t="s">
        <v>32</v>
      </c>
    </row>
    <row r="9" spans="1:8" x14ac:dyDescent="0.2">
      <c r="A9" s="1" t="s">
        <v>28</v>
      </c>
      <c r="B9" s="2" t="s">
        <v>19</v>
      </c>
      <c r="C9" s="1">
        <v>0</v>
      </c>
      <c r="D9" s="1">
        <v>-33</v>
      </c>
      <c r="E9" s="1">
        <f t="shared" si="0"/>
        <v>-33</v>
      </c>
      <c r="F9" s="6" t="s">
        <v>14</v>
      </c>
      <c r="G9" s="4" t="s">
        <v>16</v>
      </c>
      <c r="H9" s="1" t="s">
        <v>32</v>
      </c>
    </row>
    <row r="10" spans="1:8" x14ac:dyDescent="0.2">
      <c r="A10" s="9" t="s">
        <v>31</v>
      </c>
      <c r="B10" s="3" t="s">
        <v>26</v>
      </c>
      <c r="C10" s="9">
        <v>0</v>
      </c>
      <c r="D10" s="9">
        <v>-308</v>
      </c>
      <c r="E10" s="9">
        <f t="shared" si="0"/>
        <v>-308</v>
      </c>
      <c r="F10" s="6" t="s">
        <v>14</v>
      </c>
      <c r="G10" s="8" t="s">
        <v>17</v>
      </c>
      <c r="H10" s="1" t="s">
        <v>32</v>
      </c>
    </row>
    <row r="11" spans="1:8" x14ac:dyDescent="0.2">
      <c r="A11" s="1" t="s">
        <v>22</v>
      </c>
      <c r="B11" s="2" t="s">
        <v>23</v>
      </c>
      <c r="C11" s="1">
        <v>-97</v>
      </c>
      <c r="D11" s="1">
        <v>0</v>
      </c>
      <c r="E11" s="1">
        <f>D11+C11</f>
        <v>-97</v>
      </c>
      <c r="F11" s="6" t="s">
        <v>14</v>
      </c>
      <c r="G11" s="4" t="s">
        <v>16</v>
      </c>
      <c r="H11" s="1" t="s">
        <v>32</v>
      </c>
    </row>
    <row r="12" spans="1:8" x14ac:dyDescent="0.2">
      <c r="A12" s="1" t="s">
        <v>29</v>
      </c>
      <c r="B12" s="2" t="s">
        <v>23</v>
      </c>
      <c r="C12" s="1">
        <v>0</v>
      </c>
      <c r="D12" s="1">
        <v>-27.32</v>
      </c>
      <c r="E12" s="1">
        <f>D12+C12</f>
        <v>-27.32</v>
      </c>
      <c r="F12" s="6" t="s">
        <v>14</v>
      </c>
      <c r="G12" s="4" t="s">
        <v>16</v>
      </c>
      <c r="H12" s="1" t="s">
        <v>32</v>
      </c>
    </row>
    <row r="13" spans="1:8" x14ac:dyDescent="0.2">
      <c r="A13" s="1" t="s">
        <v>28</v>
      </c>
      <c r="B13" s="2" t="s">
        <v>42</v>
      </c>
      <c r="C13" s="1">
        <v>-37</v>
      </c>
      <c r="D13" s="1">
        <v>0</v>
      </c>
      <c r="E13" s="1">
        <f t="shared" ref="E13" si="1">D13+C13</f>
        <v>-37</v>
      </c>
      <c r="F13" s="6" t="s">
        <v>14</v>
      </c>
      <c r="G13" s="4" t="s">
        <v>16</v>
      </c>
      <c r="H13" s="1" t="s">
        <v>32</v>
      </c>
    </row>
    <row r="14" spans="1:8" x14ac:dyDescent="0.2">
      <c r="A14" s="1" t="s">
        <v>6</v>
      </c>
      <c r="B14" s="2" t="s">
        <v>7</v>
      </c>
      <c r="C14" s="1">
        <v>-33</v>
      </c>
      <c r="D14" s="1">
        <v>-33</v>
      </c>
      <c r="E14" s="1">
        <f>D14+C14</f>
        <v>-66</v>
      </c>
      <c r="F14" s="6" t="s">
        <v>14</v>
      </c>
      <c r="G14" s="8" t="s">
        <v>17</v>
      </c>
      <c r="H14" s="1" t="s">
        <v>32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3E05-7CD0-4E4B-8ACF-476C0901ED2E}">
  <dimension ref="A1:M7"/>
  <sheetViews>
    <sheetView tabSelected="1" zoomScale="200" workbookViewId="0">
      <selection activeCell="D4" sqref="D4"/>
    </sheetView>
  </sheetViews>
  <sheetFormatPr baseColWidth="10" defaultRowHeight="16" x14ac:dyDescent="0.2"/>
  <cols>
    <col min="1" max="1" width="9.6640625" style="3" bestFit="1" customWidth="1"/>
    <col min="2" max="2" width="17.33203125" style="3" bestFit="1" customWidth="1"/>
    <col min="3" max="3" width="12.1640625" style="3" bestFit="1" customWidth="1"/>
    <col min="4" max="4" width="16.6640625" style="3" bestFit="1" customWidth="1"/>
    <col min="5" max="5" width="19.83203125" style="3" bestFit="1" customWidth="1"/>
    <col min="6" max="6" width="10.83203125" style="3"/>
    <col min="7" max="7" width="19.83203125" style="3" bestFit="1" customWidth="1"/>
    <col min="8" max="8" width="10.83203125" style="3"/>
    <col min="9" max="9" width="7.1640625" style="3" bestFit="1" customWidth="1"/>
    <col min="10" max="10" width="17.33203125" style="3" bestFit="1" customWidth="1"/>
    <col min="11" max="11" width="12.1640625" style="3" bestFit="1" customWidth="1"/>
    <col min="12" max="12" width="16.6640625" style="3" bestFit="1" customWidth="1"/>
    <col min="13" max="13" width="19.83203125" style="3" bestFit="1" customWidth="1"/>
    <col min="14" max="16384" width="10.83203125" style="3"/>
  </cols>
  <sheetData>
    <row r="1" spans="1:13" x14ac:dyDescent="0.2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G1" s="10" t="s">
        <v>39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</row>
    <row r="2" spans="1:13" x14ac:dyDescent="0.2">
      <c r="A2" s="12">
        <v>45931</v>
      </c>
      <c r="B2" s="11">
        <f>6500*3.64</f>
        <v>23660</v>
      </c>
      <c r="C2" s="11">
        <f>12.5*4*30*3.64</f>
        <v>5460</v>
      </c>
      <c r="D2" s="11">
        <f>B2+C2</f>
        <v>29120</v>
      </c>
      <c r="E2" s="15">
        <f>79136-D2</f>
        <v>50016</v>
      </c>
      <c r="G2" s="2">
        <f>0.3*D2</f>
        <v>8736</v>
      </c>
      <c r="I2" s="12">
        <v>45931</v>
      </c>
      <c r="J2" s="11">
        <f>6500*3.64</f>
        <v>23660</v>
      </c>
      <c r="K2" s="11">
        <f>12.5*4*30*3.64</f>
        <v>5460</v>
      </c>
      <c r="L2" s="11">
        <f>J2+K2-G2</f>
        <v>20384</v>
      </c>
      <c r="M2" s="15">
        <f>79136-L2</f>
        <v>58752</v>
      </c>
    </row>
    <row r="3" spans="1:13" x14ac:dyDescent="0.2">
      <c r="A3" s="12">
        <v>45962</v>
      </c>
      <c r="B3" s="11">
        <f>40*3.64*25*4</f>
        <v>14560</v>
      </c>
      <c r="C3" s="11">
        <f>12.5*4*35*3.64</f>
        <v>6370</v>
      </c>
      <c r="D3" s="11">
        <f>B3+C3</f>
        <v>20930</v>
      </c>
      <c r="E3" s="15">
        <f>E2-D3</f>
        <v>29086</v>
      </c>
      <c r="G3" s="2">
        <f t="shared" ref="G3:G5" si="0">0.3*D3</f>
        <v>6279</v>
      </c>
      <c r="I3" s="12">
        <v>45962</v>
      </c>
      <c r="J3" s="11">
        <f>40*3.64*20*4</f>
        <v>11648</v>
      </c>
      <c r="K3" s="11">
        <f>12.5*4*30*3.64</f>
        <v>5460</v>
      </c>
      <c r="L3" s="11">
        <f t="shared" ref="L3:L5" si="1">J3+K3-G3</f>
        <v>10829</v>
      </c>
      <c r="M3" s="15">
        <f>M2-L3</f>
        <v>47923</v>
      </c>
    </row>
    <row r="4" spans="1:13" x14ac:dyDescent="0.2">
      <c r="A4" s="13">
        <v>45992</v>
      </c>
      <c r="B4" s="11">
        <f>40*3.64*25*4</f>
        <v>14560</v>
      </c>
      <c r="C4" s="11">
        <f>12.5*4*35*3.64</f>
        <v>6370</v>
      </c>
      <c r="D4" s="11">
        <f>B4+C4</f>
        <v>20930</v>
      </c>
      <c r="E4" s="15">
        <f>E3-D4</f>
        <v>8156</v>
      </c>
      <c r="G4" s="2">
        <f t="shared" si="0"/>
        <v>6279</v>
      </c>
      <c r="I4" s="13">
        <v>45992</v>
      </c>
      <c r="J4" s="11">
        <f>40*3.64*20*4</f>
        <v>11648</v>
      </c>
      <c r="K4" s="11">
        <f>12.5*4*30*3.64</f>
        <v>5460</v>
      </c>
      <c r="L4" s="11">
        <f t="shared" si="1"/>
        <v>10829</v>
      </c>
      <c r="M4" s="15">
        <f>M3-L4</f>
        <v>37094</v>
      </c>
    </row>
    <row r="5" spans="1:13" x14ac:dyDescent="0.2">
      <c r="A5" s="13">
        <v>45658</v>
      </c>
      <c r="B5" s="11">
        <f>40*3.64*20*4</f>
        <v>11648</v>
      </c>
      <c r="C5" s="11">
        <f>12.5*4*35*3.64</f>
        <v>6370</v>
      </c>
      <c r="D5" s="11">
        <f>B5+C5</f>
        <v>18018</v>
      </c>
      <c r="E5" s="14">
        <f>E4-D5</f>
        <v>-9862</v>
      </c>
      <c r="G5" s="2">
        <f t="shared" si="0"/>
        <v>5405.4</v>
      </c>
      <c r="I5" s="13">
        <v>45658</v>
      </c>
      <c r="J5" s="11">
        <f>40*3.64*20*4</f>
        <v>11648</v>
      </c>
      <c r="K5" s="11">
        <f>12.5*4*30*3.64</f>
        <v>5460</v>
      </c>
      <c r="L5" s="11">
        <f t="shared" si="1"/>
        <v>11702.6</v>
      </c>
      <c r="M5" s="15">
        <f>M4-L5</f>
        <v>25391.4</v>
      </c>
    </row>
    <row r="6" spans="1:13" x14ac:dyDescent="0.2">
      <c r="B6" s="3" t="s">
        <v>41</v>
      </c>
      <c r="C6" s="3" t="s">
        <v>40</v>
      </c>
      <c r="G6" s="2">
        <v>5132.3999999999996</v>
      </c>
      <c r="I6" s="13">
        <v>45689</v>
      </c>
      <c r="J6" s="11">
        <f t="shared" ref="J6:J7" si="2">40*3.64*20*4</f>
        <v>11648</v>
      </c>
      <c r="K6" s="11">
        <f t="shared" ref="K6:K7" si="3">12.5*4*30*3.64</f>
        <v>5460</v>
      </c>
      <c r="L6" s="11">
        <f>J6+K6-5132.4</f>
        <v>11975.6</v>
      </c>
      <c r="M6" s="15">
        <f>M5-L6</f>
        <v>13415.800000000001</v>
      </c>
    </row>
    <row r="7" spans="1:13" x14ac:dyDescent="0.2">
      <c r="G7" s="2">
        <v>5132.3999999999996</v>
      </c>
      <c r="I7" s="13">
        <v>45717</v>
      </c>
      <c r="J7" s="11">
        <f t="shared" si="2"/>
        <v>11648</v>
      </c>
      <c r="K7" s="11">
        <f t="shared" si="3"/>
        <v>5460</v>
      </c>
      <c r="L7" s="11">
        <f>J7+K7-5132.4</f>
        <v>11975.6</v>
      </c>
      <c r="M7" s="14">
        <f>M6-L7</f>
        <v>1440.2000000000007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Ishaq Mohammed Shoeb Ansari</dc:creator>
  <cp:lastModifiedBy>Mohammed Ishaq Mohammed Shoeb Ansari</cp:lastModifiedBy>
  <dcterms:created xsi:type="dcterms:W3CDTF">2025-10-07T01:22:04Z</dcterms:created>
  <dcterms:modified xsi:type="dcterms:W3CDTF">2025-10-15T05:52:46Z</dcterms:modified>
</cp:coreProperties>
</file>